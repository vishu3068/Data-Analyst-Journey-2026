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analyst_journey2026\excel\"/>
    </mc:Choice>
  </mc:AlternateContent>
  <xr:revisionPtr revIDLastSave="0" documentId="13_ncr:1_{DD0A7806-BCDF-4396-A5F9-D0CE5E9ADED0}" xr6:coauthVersionLast="47" xr6:coauthVersionMax="47" xr10:uidLastSave="{00000000-0000-0000-0000-000000000000}"/>
  <bookViews>
    <workbookView xWindow="-108" yWindow="-108" windowWidth="23256" windowHeight="12456" xr2:uid="{670E88B1-6FEB-4900-A274-9DF6092CEB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" l="1"/>
  <c r="F12" i="1"/>
  <c r="F10" i="1"/>
  <c r="F8" i="1"/>
  <c r="F6" i="1"/>
  <c r="F4" i="1"/>
  <c r="F2" i="1"/>
  <c r="B25" i="1"/>
  <c r="B24" i="1"/>
  <c r="B23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" i="1"/>
</calcChain>
</file>

<file path=xl/sharedStrings.xml><?xml version="1.0" encoding="utf-8"?>
<sst xmlns="http://schemas.openxmlformats.org/spreadsheetml/2006/main" count="33" uniqueCount="33">
  <si>
    <t>Name</t>
  </si>
  <si>
    <t>Marks</t>
  </si>
  <si>
    <t>pass/fail</t>
  </si>
  <si>
    <t>isha</t>
  </si>
  <si>
    <t>lasya</t>
  </si>
  <si>
    <t>abhi</t>
  </si>
  <si>
    <t>vivek</t>
  </si>
  <si>
    <t>ajay</t>
  </si>
  <si>
    <t>tanvi</t>
  </si>
  <si>
    <t>sanju</t>
  </si>
  <si>
    <t>mohan</t>
  </si>
  <si>
    <t>chinnu</t>
  </si>
  <si>
    <t>madhuri</t>
  </si>
  <si>
    <t>narender</t>
  </si>
  <si>
    <t>vishwanth</t>
  </si>
  <si>
    <t>karthik s</t>
  </si>
  <si>
    <t>srihitha</t>
  </si>
  <si>
    <t>arvind</t>
  </si>
  <si>
    <t>vidya</t>
  </si>
  <si>
    <t xml:space="preserve">divya </t>
  </si>
  <si>
    <t>vijay</t>
  </si>
  <si>
    <t>gowsia</t>
  </si>
  <si>
    <t>afreen</t>
  </si>
  <si>
    <t>min</t>
  </si>
  <si>
    <t>max</t>
  </si>
  <si>
    <t>average</t>
  </si>
  <si>
    <t>Total Students</t>
  </si>
  <si>
    <t>Pass Count</t>
  </si>
  <si>
    <t>Fail Count</t>
  </si>
  <si>
    <t>Highest Marks</t>
  </si>
  <si>
    <t>Lowest Marks</t>
  </si>
  <si>
    <t>Average Marks</t>
  </si>
  <si>
    <t>Pass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</si>
</sst>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DAE3C-D0D0-4EA8-BAF3-A76BECF13513}">
  <dimension ref="A1:F25"/>
  <sheetViews>
    <sheetView tabSelected="1" workbookViewId="0">
      <selection activeCell="F14" sqref="F14"/>
    </sheetView>
  </sheetViews>
  <sheetFormatPr defaultRowHeight="14.4" x14ac:dyDescent="0.3"/>
  <cols>
    <col min="1" max="1" width="23.33203125" customWidth="1"/>
    <col min="2" max="2" width="18.33203125" customWidth="1"/>
    <col min="3" max="3" width="15.88671875" customWidth="1"/>
    <col min="5" max="5" width="21.6640625" customWidth="1"/>
    <col min="6" max="6" width="17.77734375" customWidth="1"/>
  </cols>
  <sheetData>
    <row r="1" spans="1:6" x14ac:dyDescent="0.3">
      <c r="A1" t="s">
        <v>0</v>
      </c>
      <c r="B1" t="s">
        <v>1</v>
      </c>
      <c r="C1" t="s">
        <v>2</v>
      </c>
    </row>
    <row r="2" spans="1:6" x14ac:dyDescent="0.3">
      <c r="A2" t="s">
        <v>3</v>
      </c>
      <c r="B2" s="1">
        <v>80</v>
      </c>
      <c r="C2" t="str">
        <f>IF(B2&gt;=40, "pass", "fail")</f>
        <v>pass</v>
      </c>
      <c r="E2" t="s">
        <v>26</v>
      </c>
      <c r="F2">
        <f>COUNT(B2:B21)</f>
        <v>20</v>
      </c>
    </row>
    <row r="3" spans="1:6" x14ac:dyDescent="0.3">
      <c r="A3" t="s">
        <v>4</v>
      </c>
      <c r="B3" s="1">
        <v>90</v>
      </c>
      <c r="C3" t="str">
        <f t="shared" ref="C3:C21" si="0">IF(B3&gt;=40, "pass", "fail")</f>
        <v>pass</v>
      </c>
    </row>
    <row r="4" spans="1:6" x14ac:dyDescent="0.3">
      <c r="A4" t="s">
        <v>5</v>
      </c>
      <c r="B4" s="1">
        <v>78</v>
      </c>
      <c r="C4" t="str">
        <f t="shared" si="0"/>
        <v>pass</v>
      </c>
      <c r="E4" t="s">
        <v>27</v>
      </c>
      <c r="F4">
        <f>COUNTIF(C2:C21, "pass")</f>
        <v>16</v>
      </c>
    </row>
    <row r="5" spans="1:6" x14ac:dyDescent="0.3">
      <c r="A5" t="s">
        <v>6</v>
      </c>
      <c r="B5" s="1">
        <v>76</v>
      </c>
      <c r="C5" t="str">
        <f t="shared" si="0"/>
        <v>pass</v>
      </c>
    </row>
    <row r="6" spans="1:6" x14ac:dyDescent="0.3">
      <c r="A6" t="s">
        <v>7</v>
      </c>
      <c r="B6" s="1">
        <v>36</v>
      </c>
      <c r="C6" t="str">
        <f t="shared" si="0"/>
        <v>fail</v>
      </c>
      <c r="E6" t="s">
        <v>28</v>
      </c>
      <c r="F6">
        <f>COUNTIF(C2:C21, "FAIL")</f>
        <v>4</v>
      </c>
    </row>
    <row r="7" spans="1:6" x14ac:dyDescent="0.3">
      <c r="A7" t="s">
        <v>8</v>
      </c>
      <c r="B7" s="1">
        <v>87</v>
      </c>
      <c r="C7" t="str">
        <f t="shared" si="0"/>
        <v>pass</v>
      </c>
    </row>
    <row r="8" spans="1:6" x14ac:dyDescent="0.3">
      <c r="A8" t="s">
        <v>9</v>
      </c>
      <c r="B8" s="1">
        <v>96</v>
      </c>
      <c r="C8" t="str">
        <f t="shared" si="0"/>
        <v>pass</v>
      </c>
      <c r="E8" t="s">
        <v>29</v>
      </c>
      <c r="F8">
        <f>MAX(B2:B21)</f>
        <v>96</v>
      </c>
    </row>
    <row r="9" spans="1:6" x14ac:dyDescent="0.3">
      <c r="A9" t="s">
        <v>10</v>
      </c>
      <c r="B9" s="1">
        <v>57</v>
      </c>
      <c r="C9" t="str">
        <f t="shared" si="0"/>
        <v>pass</v>
      </c>
    </row>
    <row r="10" spans="1:6" x14ac:dyDescent="0.3">
      <c r="A10" t="s">
        <v>11</v>
      </c>
      <c r="B10" s="1">
        <v>28</v>
      </c>
      <c r="C10" t="str">
        <f t="shared" si="0"/>
        <v>fail</v>
      </c>
      <c r="E10" t="s">
        <v>30</v>
      </c>
      <c r="F10" s="2">
        <f>MIN(B2:B21)</f>
        <v>27</v>
      </c>
    </row>
    <row r="11" spans="1:6" x14ac:dyDescent="0.3">
      <c r="A11" t="s">
        <v>12</v>
      </c>
      <c r="B11" s="1">
        <v>64</v>
      </c>
      <c r="C11" t="str">
        <f t="shared" si="0"/>
        <v>pass</v>
      </c>
    </row>
    <row r="12" spans="1:6" x14ac:dyDescent="0.3">
      <c r="A12" t="s">
        <v>13</v>
      </c>
      <c r="B12" s="1">
        <v>57</v>
      </c>
      <c r="C12" t="str">
        <f t="shared" si="0"/>
        <v>pass</v>
      </c>
      <c r="E12" t="s">
        <v>31</v>
      </c>
      <c r="F12">
        <f>AVERAGE(B2:B21)</f>
        <v>64.599999999999994</v>
      </c>
    </row>
    <row r="13" spans="1:6" x14ac:dyDescent="0.3">
      <c r="A13" t="s">
        <v>14</v>
      </c>
      <c r="B13" s="1">
        <v>85</v>
      </c>
      <c r="C13" t="str">
        <f t="shared" si="0"/>
        <v>pass</v>
      </c>
    </row>
    <row r="14" spans="1:6" x14ac:dyDescent="0.3">
      <c r="A14" t="s">
        <v>15</v>
      </c>
      <c r="B14" s="1">
        <v>36</v>
      </c>
      <c r="C14" t="str">
        <f t="shared" si="0"/>
        <v>fail</v>
      </c>
      <c r="E14" t="s">
        <v>32</v>
      </c>
      <c r="F14">
        <f>(F4/F2) *100</f>
        <v>80</v>
      </c>
    </row>
    <row r="15" spans="1:6" x14ac:dyDescent="0.3">
      <c r="A15" t="s">
        <v>16</v>
      </c>
      <c r="B15" s="1">
        <v>85</v>
      </c>
      <c r="C15" t="str">
        <f t="shared" si="0"/>
        <v>pass</v>
      </c>
    </row>
    <row r="16" spans="1:6" x14ac:dyDescent="0.3">
      <c r="A16" t="s">
        <v>17</v>
      </c>
      <c r="B16" s="1">
        <v>47</v>
      </c>
      <c r="C16" t="str">
        <f t="shared" si="0"/>
        <v>pass</v>
      </c>
    </row>
    <row r="17" spans="1:3" x14ac:dyDescent="0.3">
      <c r="A17" t="s">
        <v>18</v>
      </c>
      <c r="B17" s="1">
        <v>74</v>
      </c>
      <c r="C17" t="str">
        <f t="shared" si="0"/>
        <v>pass</v>
      </c>
    </row>
    <row r="18" spans="1:3" x14ac:dyDescent="0.3">
      <c r="A18" t="s">
        <v>19</v>
      </c>
      <c r="B18" s="1">
        <v>78</v>
      </c>
      <c r="C18" t="str">
        <f t="shared" si="0"/>
        <v>pass</v>
      </c>
    </row>
    <row r="19" spans="1:3" x14ac:dyDescent="0.3">
      <c r="A19" t="s">
        <v>20</v>
      </c>
      <c r="B19" s="1">
        <v>57</v>
      </c>
      <c r="C19" t="str">
        <f t="shared" si="0"/>
        <v>pass</v>
      </c>
    </row>
    <row r="20" spans="1:3" x14ac:dyDescent="0.3">
      <c r="A20" t="s">
        <v>21</v>
      </c>
      <c r="B20" s="1">
        <v>54</v>
      </c>
      <c r="C20" t="str">
        <f t="shared" si="0"/>
        <v>pass</v>
      </c>
    </row>
    <row r="21" spans="1:3" x14ac:dyDescent="0.3">
      <c r="A21" t="s">
        <v>22</v>
      </c>
      <c r="B21" s="1">
        <v>27</v>
      </c>
      <c r="C21" t="str">
        <f t="shared" si="0"/>
        <v>fail</v>
      </c>
    </row>
    <row r="23" spans="1:3" x14ac:dyDescent="0.3">
      <c r="A23" t="s">
        <v>23</v>
      </c>
      <c r="B23" s="1">
        <f>MIN(B2:B21)</f>
        <v>27</v>
      </c>
    </row>
    <row r="24" spans="1:3" x14ac:dyDescent="0.3">
      <c r="A24" t="s">
        <v>24</v>
      </c>
      <c r="B24" s="1">
        <f>MAX(B2:B21)</f>
        <v>96</v>
      </c>
    </row>
    <row r="25" spans="1:3" x14ac:dyDescent="0.3">
      <c r="A25" t="s">
        <v>25</v>
      </c>
      <c r="B25" s="1">
        <f>AVERAGE(B2:B21)</f>
        <v>64.599999999999994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Chamakura Vishwanth</dc:creator>
  <cp:lastModifiedBy>Chamakura Vishwanth</cp:lastModifiedBy>
  <dcterms:created xsi:type="dcterms:W3CDTF">2026-06-22T15:06:31Z</dcterms:created>
  <dcterms:modified xsi:type="dcterms:W3CDTF">2026-06-22T15:28:18Z</dcterms:modified>
</cp:coreProperties>
</file>